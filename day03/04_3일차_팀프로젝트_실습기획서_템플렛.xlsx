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vibecoding_team_pjt\day03\"/>
    </mc:Choice>
  </mc:AlternateContent>
  <xr:revisionPtr revIDLastSave="0" documentId="13_ncr:1_{6BB027AA-7301-4F1E-B4A7-02983BA7A26B}" xr6:coauthVersionLast="47" xr6:coauthVersionMax="47" xr10:uidLastSave="{00000000-0000-0000-0000-000000000000}"/>
  <bookViews>
    <workbookView xWindow="3240" yWindow="3240" windowWidth="28800" windowHeight="15345" tabRatio="500" firstSheet="1" activeTab="5"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0" i="6" l="1"/>
  <c r="H21" i="6"/>
  <c r="H22"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<sst xmlns="http://schemas.openxmlformats.org/spreadsheetml/2006/main" count="364" uniqueCount="296">
  <si>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</si>
  <si>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</si>
  <si>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</si>
  <si>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</si>
  <si>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</si>
  <si>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</si>
  <si>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</si>
  <si>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</si>
  <si>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</si>
  <si>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</si>
  <si>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</si>
  <si>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</si>
  <si>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</si>
  <si>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</si>
  <si>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</si>
  <si>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</si>
  <si>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</si>
  <si>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</si>
  <si>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</si>
  <si>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</si>
  <si>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</si>
  <si>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</si>
  <si>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</si>
  <si>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</si>
  <si>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</si>
  <si>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</si>
  <si>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</si>
  <si>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</si>
  <si>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</si>
  <si>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</si>
  <si>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</si>
  <si>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</si>
  <si>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</si>
  <si>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</si>
  <si>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</si>
  <si>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</si>
  <si>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</si>
  <si>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</si>
  <si>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</si>
  <si>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</si>
  <si>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</si>
  <si>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</si>
  <si>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</si>
  <si>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</si>
  <si>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</si>
  <si>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</si>
  <si>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</si>
  <si>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</si>
  <si>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</si>
  <si>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</si>
  <si>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</si>
  <si>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</si>
  <si>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</si>
  <si>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</si>
  <si>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</si>
  <si>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</si>
  <si>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</si>
  <si>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</si>
  <si>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</si>
  <si>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</si>
  <si>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</si>
  <si>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</si>
  <si>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</si>
  <si>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</si>
  <si>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</si>
  <si>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</si>
  <si>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</si>
  <si>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</si>
  <si>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</si>
  <si>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</si>
  <si>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</si>
  <si>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</si>
  <si>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</si>
  <si>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</si>
  <si>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</si>
  <si>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</si>
  <si>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</si>
  <si>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</si>
  <si>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</si>
  <si>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</si>
  <si>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</si>
  <si>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</si>
  <si>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</si>
  <si>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</si>
  <si>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</si>
  <si>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</si>
  <si>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</si>
  <si>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</si>
  <si>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</si>
  <si>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</si>
  <si>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</si>
  <si>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</si>
  <si>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</si>
  <si>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</si>
  <si>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</si>
  <si>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</si>
  <si>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</si>
  <si>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</si>
  <si>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</si>
  <si>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</si>
  <si>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</si>
  <si>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</si>
  <si>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</si>
  <si>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</si>
  <si>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</si>
  <si>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</si>
  <si>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</si>
  <si>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</si>
  <si>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</si>
  <si>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</si>
  <si>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</si>
  <si>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</si>
  <si>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</si>
  <si>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</si>
  <si>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</si>
  <si>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</si>
  <si>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</si>
  <si>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</si>
  <si>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</si>
  <si>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</si>
  <si>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</si>
  <si>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</si>
  <si>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</si>
  <si>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</si>
  <si>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</si>
  <si>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</si>
  <si>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</si>
  <si>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</si>
  <si>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</si>
  <si>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</si>
  <si>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</si>
  <si>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</si>
  <si>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</si>
  <si>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</si>
  <si>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</si>
  <si>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</si>
  <si>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</si>
  <si>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</si>
  <si>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</si>
  <si>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</si>
  <si>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</si>
  <si>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</si>
  <si>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</si>
  <si>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</si>
  <si>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</si>
  <si>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</si>
  <si>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</si>
  <si>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</si>
  <si>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</si>
  <si>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</si>
  <si>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</si>
  <si>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</si>
  <si>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</si>
  <si>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</si>
  <si>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</si>
  <si>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</si>
  <si>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</si>
  <si>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</si>
  <si>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</si>
  <si>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</si>
  <si>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</si>
  <si>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</si>
  <si>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</si>
  <si>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</si>
  <si>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</si>
  <si>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</si>
  <si>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</si>
  <si>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</si>
  <si>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</si>
  <si>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</si>
  <si>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</si>
  <si>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</si>
  <si>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</si>
  <si>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</si>
  <si>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</si>
  <si>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</si>
  <si>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</si>
  <si>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</si>
  <si>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</si>
  <si>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</si>
  <si>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</si>
  <si>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</si>
  <si>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</si>
  <si>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</si>
  <si>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</si>
  <si>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</si>
  <si>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</si>
  <si>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</si>
  <si>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</si>
  <si>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</si>
  <si>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</si>
  <si>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</si>
  <si>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</si>
  <si>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</si>
  <si>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</si>
  <si>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</si>
  <si>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</si>
  <si>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</si>
  <si>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</si>
  <si>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</si>
  <si>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</si>
  <si>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</si>
  <si>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</si>
  <si>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</si>
  <si>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</si>
  <si>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</si>
  <si>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</si>
  <si>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</si>
  <si>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</si>
  <si>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</si>
  <si>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</si>
  <si>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</si>
  <si>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</si>
  <si>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</si>
  <si>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</si>
  <si>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</si>
  <si>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</si>
  <si>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</si>
  <si>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</si>
  <si>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</si>
  <si>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</si>
  <si>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</si>
  <si>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</si>
  <si>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</si>
  <si>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</si>
  <si>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</si>
  <si>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</si>
  <si>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</si>
  <si>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</si>
  <si>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</si>
  <si>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</si>
  <si>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</si>
  <si>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</si>
  <si>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</si>
  <si>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</si>
  <si>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</si>
  <si>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</si>
  <si>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</si>
  <si>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</si>
  <si>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</si>
  <si>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</si>
  <si>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</si>
  <si>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</si>
  <si>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</si>
  <si>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</si>
  <si>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</si>
  <si>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</si>
  <si>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</si>
  <si>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</si>
  <si>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</si>
  <si>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</si>
  <si>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</si>
  <si>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</si>
  <si>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</si>
  <si>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</si>
  <si>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</si>
  <si>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</si>
  <si>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</si>
  <si>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</si>
  <si>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</si>
  <si>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</si>
  <si>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</si>
  <si>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</si>
  <si>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돋움"/>
        <family val="3"/>
        <charset val="129"/>
      </rPr>
      <t>선택</t>
    </r>
    <r>
      <rPr>
        <b/>
        <sz val="10"/>
        <color rgb="FF222222"/>
        <rFont val="Arial"/>
        <family val="2"/>
      </rPr>
      <t xml:space="preserve"> - </t>
    </r>
    <r>
      <rPr>
        <b/>
        <sz val="10"/>
        <color rgb="FF222222"/>
        <rFont val="돋움"/>
        <family val="2"/>
        <charset val="129"/>
      </rPr>
      <t>소셜</t>
    </r>
    <r>
      <rPr>
        <b/>
        <sz val="10"/>
        <color rgb="FF222222"/>
        <rFont val="Arial"/>
        <family val="2"/>
      </rPr>
      <t xml:space="preserve"> </t>
    </r>
    <r>
      <rPr>
        <b/>
        <sz val="10"/>
        <color rgb="FF222222"/>
        <rFont val="돋움"/>
        <family val="2"/>
        <charset val="129"/>
      </rPr>
      <t>공유</t>
    </r>
    <r>
      <rPr>
        <b/>
        <sz val="10"/>
        <color rgb="FF222222"/>
        <rFont val="Arial"/>
        <family val="2"/>
      </rPr>
      <t xml:space="preserve"> (</t>
    </r>
    <r>
      <rPr>
        <b/>
        <sz val="10"/>
        <color rgb="FF222222"/>
        <rFont val="돋움"/>
        <family val="2"/>
        <charset val="129"/>
      </rPr>
      <t>주소</t>
    </r>
    <r>
      <rPr>
        <b/>
        <sz val="10"/>
        <color rgb="FF222222"/>
        <rFont val="Arial"/>
        <family val="2"/>
      </rPr>
      <t xml:space="preserve"> </t>
    </r>
    <r>
      <rPr>
        <b/>
        <sz val="10"/>
        <color rgb="FF222222"/>
        <rFont val="돋움"/>
        <family val="2"/>
        <charset val="129"/>
      </rPr>
      <t>복사</t>
    </r>
    <r>
      <rPr>
        <b/>
        <sz val="10"/>
        <color rgb="FF222222"/>
        <rFont val="Arial"/>
        <family val="2"/>
      </rPr>
      <t>)</t>
    </r>
    <r>
      <rPr>
        <sz val="10"/>
        <color rgb="FF222222"/>
        <rFont val="Arial"/>
        <family val="2"/>
      </rPr>
      <t xml:space="preserve">
• </t>
    </r>
    <r>
      <rPr>
        <sz val="10"/>
        <color rgb="FF222222"/>
        <rFont val="돋움"/>
        <family val="2"/>
        <charset val="129"/>
      </rPr>
      <t>게시글</t>
    </r>
    <r>
      <rPr>
        <sz val="10"/>
        <color rgb="FF222222"/>
        <rFont val="Arial"/>
        <family val="2"/>
      </rPr>
      <t xml:space="preserve"> </t>
    </r>
    <r>
      <rPr>
        <sz val="10"/>
        <color rgb="FF222222"/>
        <rFont val="돋움"/>
        <family val="2"/>
        <charset val="129"/>
      </rPr>
      <t>상세</t>
    </r>
    <r>
      <rPr>
        <sz val="10"/>
        <color rgb="FF222222"/>
        <rFont val="Arial"/>
        <family val="2"/>
      </rPr>
      <t xml:space="preserve"> </t>
    </r>
    <r>
      <rPr>
        <sz val="10"/>
        <color rgb="FF222222"/>
        <rFont val="돋움"/>
        <family val="2"/>
        <charset val="129"/>
      </rPr>
      <t>화면</t>
    </r>
    <r>
      <rPr>
        <sz val="10"/>
        <color rgb="FF222222"/>
        <rFont val="Arial"/>
        <family val="2"/>
      </rPr>
      <t xml:space="preserve"> </t>
    </r>
    <r>
      <rPr>
        <sz val="10"/>
        <color rgb="FF222222"/>
        <rFont val="돋움"/>
        <family val="2"/>
        <charset val="129"/>
      </rPr>
      <t>또는</t>
    </r>
    <r>
      <rPr>
        <sz val="10"/>
        <color rgb="FF222222"/>
        <rFont val="Arial"/>
        <family val="2"/>
      </rPr>
      <t xml:space="preserve"> </t>
    </r>
    <r>
      <rPr>
        <sz val="10"/>
        <color rgb="FF222222"/>
        <rFont val="돋움"/>
        <family val="2"/>
        <charset val="129"/>
      </rPr>
      <t>추천</t>
    </r>
    <r>
      <rPr>
        <sz val="10"/>
        <color rgb="FF222222"/>
        <rFont val="Arial"/>
        <family val="2"/>
      </rPr>
      <t xml:space="preserve"> </t>
    </r>
    <r>
      <rPr>
        <sz val="10"/>
        <color rgb="FF222222"/>
        <rFont val="돋움"/>
        <family val="2"/>
        <charset val="129"/>
      </rPr>
      <t>코스</t>
    </r>
    <r>
      <rPr>
        <sz val="10"/>
        <color rgb="FF222222"/>
        <rFont val="Arial"/>
        <family val="2"/>
      </rPr>
      <t xml:space="preserve"> </t>
    </r>
    <r>
      <rPr>
        <sz val="10"/>
        <color rgb="FF222222"/>
        <rFont val="돋움"/>
        <family val="2"/>
        <charset val="129"/>
      </rPr>
      <t>화면의</t>
    </r>
    <r>
      <rPr>
        <sz val="10"/>
        <color rgb="FF222222"/>
        <rFont val="Arial"/>
        <family val="2"/>
      </rPr>
      <t xml:space="preserve"> URL </t>
    </r>
    <r>
      <rPr>
        <sz val="10"/>
        <color rgb="FF222222"/>
        <rFont val="돋움"/>
        <family val="2"/>
        <charset val="129"/>
      </rPr>
      <t>주소를</t>
    </r>
    <r>
      <rPr>
        <sz val="10"/>
        <color rgb="FF222222"/>
        <rFont val="Arial"/>
        <family val="2"/>
      </rPr>
      <t xml:space="preserve"> </t>
    </r>
    <r>
      <rPr>
        <sz val="10"/>
        <color rgb="FF222222"/>
        <rFont val="돋움"/>
        <family val="2"/>
        <charset val="129"/>
      </rPr>
      <t>클립보드에</t>
    </r>
    <r>
      <rPr>
        <sz val="10"/>
        <color rgb="FF222222"/>
        <rFont val="Arial"/>
        <family val="2"/>
      </rPr>
      <t xml:space="preserve"> </t>
    </r>
    <r>
      <rPr>
        <sz val="10"/>
        <color rgb="FF222222"/>
        <rFont val="돋움"/>
        <family val="2"/>
        <charset val="129"/>
      </rPr>
      <t>복사</t>
    </r>
    <r>
      <rPr>
        <sz val="10"/>
        <color rgb="FF222222"/>
        <rFont val="Arial"/>
        <family val="2"/>
      </rPr>
      <t xml:space="preserve">
• navigator.clipboard.writeText</t>
    </r>
    <r>
      <rPr>
        <sz val="10"/>
        <color rgb="FF222222"/>
        <rFont val="돋움"/>
        <family val="2"/>
        <charset val="129"/>
      </rPr>
      <t>를</t>
    </r>
    <r>
      <rPr>
        <sz val="10"/>
        <color rgb="FF222222"/>
        <rFont val="Arial"/>
        <family val="2"/>
      </rPr>
      <t xml:space="preserve"> </t>
    </r>
    <r>
      <rPr>
        <sz val="10"/>
        <color rgb="FF222222"/>
        <rFont val="돋움"/>
        <family val="2"/>
        <charset val="129"/>
      </rPr>
      <t>사용하는</t>
    </r>
    <r>
      <rPr>
        <sz val="10"/>
        <color rgb="FF222222"/>
        <rFont val="Arial"/>
        <family val="2"/>
      </rPr>
      <t xml:space="preserve"> </t>
    </r>
    <r>
      <rPr>
        <sz val="10"/>
        <color rgb="FF222222"/>
        <rFont val="돋움"/>
        <family val="2"/>
        <charset val="129"/>
      </rPr>
      <t>복사</t>
    </r>
    <r>
      <rPr>
        <sz val="10"/>
        <color rgb="FF222222"/>
        <rFont val="Arial"/>
        <family val="2"/>
      </rPr>
      <t xml:space="preserve"> </t>
    </r>
    <r>
      <rPr>
        <sz val="10"/>
        <color rgb="FF222222"/>
        <rFont val="돋움"/>
        <family val="2"/>
        <charset val="129"/>
      </rPr>
      <t>버튼</t>
    </r>
    <r>
      <rPr>
        <sz val="10"/>
        <color rgb="FF222222"/>
        <rFont val="Arial"/>
        <family val="2"/>
      </rPr>
      <t xml:space="preserve"> </t>
    </r>
    <r>
      <rPr>
        <sz val="10"/>
        <color rgb="FF222222"/>
        <rFont val="돋움"/>
        <family val="2"/>
        <charset val="129"/>
      </rPr>
      <t>추가</t>
    </r>
    <r>
      <rPr>
        <sz val="10"/>
        <color rgb="FF222222"/>
        <rFont val="Arial"/>
        <family val="2"/>
      </rPr>
      <t xml:space="preserve">.
• </t>
    </r>
    <r>
      <rPr>
        <sz val="10"/>
        <color rgb="FF222222"/>
        <rFont val="돋움"/>
        <family val="2"/>
        <charset val="129"/>
      </rPr>
      <t>복사</t>
    </r>
    <r>
      <rPr>
        <sz val="10"/>
        <color rgb="FF222222"/>
        <rFont val="Arial"/>
        <family val="2"/>
      </rPr>
      <t xml:space="preserve"> </t>
    </r>
    <r>
      <rPr>
        <sz val="10"/>
        <color rgb="FF222222"/>
        <rFont val="돋움"/>
        <family val="2"/>
        <charset val="129"/>
      </rPr>
      <t>성공</t>
    </r>
    <r>
      <rPr>
        <sz val="10"/>
        <color rgb="FF222222"/>
        <rFont val="Arial"/>
        <family val="2"/>
      </rPr>
      <t xml:space="preserve"> </t>
    </r>
    <r>
      <rPr>
        <sz val="10"/>
        <color rgb="FF222222"/>
        <rFont val="돋움"/>
        <family val="2"/>
        <charset val="129"/>
      </rPr>
      <t>시</t>
    </r>
    <r>
      <rPr>
        <sz val="10"/>
        <color rgb="FF222222"/>
        <rFont val="Arial"/>
        <family val="2"/>
      </rPr>
      <t xml:space="preserve"> </t>
    </r>
    <r>
      <rPr>
        <sz val="10"/>
        <color rgb="FF222222"/>
        <rFont val="돋움"/>
        <family val="2"/>
        <charset val="129"/>
      </rPr>
      <t>간단한</t>
    </r>
    <r>
      <rPr>
        <sz val="10"/>
        <color rgb="FF222222"/>
        <rFont val="Arial"/>
        <family val="2"/>
      </rPr>
      <t xml:space="preserve"> Toast </t>
    </r>
    <r>
      <rPr>
        <sz val="10"/>
        <color rgb="FF222222"/>
        <rFont val="돋움"/>
        <family val="2"/>
        <charset val="129"/>
      </rPr>
      <t>알림을</t>
    </r>
    <r>
      <rPr>
        <sz val="10"/>
        <color rgb="FF222222"/>
        <rFont val="Arial"/>
        <family val="2"/>
      </rPr>
      <t xml:space="preserve"> </t>
    </r>
    <r>
      <rPr>
        <sz val="10"/>
        <color rgb="FF222222"/>
        <rFont val="돋움"/>
        <family val="2"/>
        <charset val="129"/>
      </rPr>
      <t>띄워</t>
    </r>
    <r>
      <rPr>
        <sz val="10"/>
        <color rgb="FF222222"/>
        <rFont val="Arial"/>
        <family val="2"/>
      </rPr>
      <t xml:space="preserve"> </t>
    </r>
    <r>
      <rPr>
        <sz val="10"/>
        <color rgb="FF222222"/>
        <rFont val="돋움"/>
        <family val="2"/>
        <charset val="129"/>
      </rPr>
      <t>사용자</t>
    </r>
    <r>
      <rPr>
        <sz val="10"/>
        <color rgb="FF222222"/>
        <rFont val="Arial"/>
        <family val="2"/>
      </rPr>
      <t xml:space="preserve"> </t>
    </r>
    <r>
      <rPr>
        <sz val="10"/>
        <color rgb="FF222222"/>
        <rFont val="돋움"/>
        <family val="2"/>
        <charset val="129"/>
      </rPr>
      <t>피드백</t>
    </r>
    <r>
      <rPr>
        <sz val="10"/>
        <color rgb="FF222222"/>
        <rFont val="Arial"/>
        <family val="2"/>
      </rPr>
      <t xml:space="preserve"> </t>
    </r>
    <r>
      <rPr>
        <sz val="10"/>
        <color rgb="FF222222"/>
        <rFont val="돋움"/>
        <family val="2"/>
        <charset val="129"/>
      </rPr>
      <t>제공</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</si>
  <si>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</si>
  <si>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</si>
  <si>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</si>
  <si>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</si>
  <si>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</si>
  <si>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</si>
  <si>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</si>
  <si>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</si>
  <si>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</si>
  <si>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</si>
  <si>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</si>
  <si>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</si>
  <si>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</si>
  <si>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</si>
  <si>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</si>
  <si>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</si>
  <si>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</si>
  <si>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</si>
  <si>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</si>
  <si>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</si>
  <si>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</si>
  <si>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</si>
  <si>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r>
      <rPr>
        <sz val="10"/>
        <color rgb="FF222222"/>
        <rFont val="Arial"/>
        <family val="2"/>
      </rPr>
      <t xml:space="preserve">UI/UX </t>
    </r>
    <r>
      <rPr>
        <sz val="10"/>
        <color rgb="FF222222"/>
        <rFont val="맑은 고딕"/>
        <family val="3"/>
        <charset val="129"/>
      </rPr>
      <t>디자인</t>
    </r>
    <r>
      <rPr>
        <sz val="10"/>
        <color rgb="FF222222"/>
        <rFont val="Arial"/>
        <family val="2"/>
      </rPr>
      <t xml:space="preserve"> </t>
    </r>
    <r>
      <rPr>
        <sz val="10"/>
        <color rgb="FF222222"/>
        <rFont val="맑은 고딕"/>
        <family val="3"/>
        <charset val="129"/>
      </rPr>
      <t>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</si>
  <si>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</si>
  <si>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</si>
  <si>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</si>
  <si>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</si>
  <si>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Noto Sans CJK SC"/>
        <family val="2"/>
      </rP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</si>
  <si>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t>완료</t>
  </si>
  <si>
    <t>완료</t>
    <phoneticPr fontId="17" type="noConversion"/>
  </si>
  <si>
    <t xml:space="preserve">완료 </t>
    <phoneticPr fontId="17" type="noConversion"/>
  </si>
  <si>
    <t>예정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</si>
</sst>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Arial"/>
      <family val="3"/>
      <charset val="129"/>
    </font>
    <font>
      <b/>
      <sz val="10"/>
      <color rgb="FF222222"/>
      <name val="돋움"/>
      <family val="2"/>
      <charset val="129"/>
    </font>
    <font>
      <b/>
      <sz val="10"/>
      <color rgb="FFFF0000"/>
      <name val="돋움"/>
      <family val="3"/>
      <charset val="129"/>
    </font>
    <font>
      <b/>
      <sz val="10"/>
      <color rgb="FFFF0000"/>
      <name val="맑은 고딕"/>
      <family val="3"/>
      <charset val="129"/>
    </font>
    <font>
      <b/>
      <sz val="11"/>
      <color theme="1"/>
      <name val="맑은 고딕"/>
      <family val="3"/>
      <charset val="129"/>
    </font>
  </fonts>
  <fills count="18">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
      <patternFill patternType="solid">
        <fgColor theme="1"/>
        <bgColor indexed="64"/>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2">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177" fontId="50" fillId="0" borderId="0" xfId="0" applyNumberFormat="1" applyFont="1" applyAlignment="1">
      <alignment horizontal="center" vertical="center"/>
    </xf>
    <xf numFmtId="0" fontId="3" fillId="17"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41" fillId="0" borderId="0" xfId="0" applyFont="1" applyAlignment="1">
      <alignment vertical="center" wrapText="1"/>
    </xf>
    <xf numFmtId="0" fontId="0" fillId="0" borderId="0" xfId="0" applyAlignment="1">
      <alignment vertical="center" wrapText="1"/>
    </xf>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0" fillId="0" borderId="6" xfId="0" applyBorder="1"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52"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0" fillId="0" borderId="0" xfId="0" applyAlignment="1">
      <alignment horizontal="center"/>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cellXfs>
  <cellStyles count="1">
    <cellStyle name="표준" xfId="0" builtinId="0"/>
  </cellStyles>
  <dxfs count="6">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4" t="s">
        <v>110</v>
      </c>
      <c r="C2" s="44"/>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40" t="s">
        <v>116</v>
      </c>
      <c r="C9" s="41"/>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2" t="s">
        <v>5</v>
      </c>
      <c r="C17" s="43"/>
    </row>
    <row r="18" spans="2:3" ht="27.75" customHeight="1">
      <c r="B18" s="45" t="s">
        <v>127</v>
      </c>
      <c r="C18" s="46"/>
    </row>
    <row r="19" spans="2:3" ht="27.75" customHeight="1">
      <c r="B19" s="38" t="s">
        <v>7</v>
      </c>
      <c r="C19" s="39"/>
    </row>
    <row r="20" spans="2:3" ht="27.75" customHeight="1">
      <c r="B20" s="38" t="s">
        <v>8</v>
      </c>
      <c r="C20" s="39"/>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49" t="s">
        <v>9</v>
      </c>
      <c r="C2" s="50"/>
      <c r="D2" s="50"/>
      <c r="E2" s="50"/>
      <c r="F2" s="50"/>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51" t="s">
        <v>128</v>
      </c>
      <c r="C10" s="48"/>
      <c r="D10" s="48"/>
      <c r="E10" s="48"/>
      <c r="F10" s="41"/>
    </row>
    <row r="11" spans="2:10" ht="24" customHeight="1">
      <c r="B11" s="5" t="s">
        <v>6</v>
      </c>
      <c r="C11" s="47" t="s">
        <v>129</v>
      </c>
      <c r="D11" s="48"/>
      <c r="E11" s="48"/>
      <c r="F11" s="48"/>
    </row>
    <row r="12" spans="2:10" ht="24" customHeight="1">
      <c r="B12" s="5" t="s">
        <v>6</v>
      </c>
      <c r="C12" s="47" t="s">
        <v>130</v>
      </c>
      <c r="D12" s="48"/>
      <c r="E12" s="48"/>
      <c r="F12" s="48"/>
    </row>
    <row r="13" spans="2:10" ht="24" customHeight="1">
      <c r="B13" s="5" t="s">
        <v>6</v>
      </c>
      <c r="C13" s="47" t="s">
        <v>131</v>
      </c>
      <c r="D13" s="48"/>
      <c r="E13" s="48"/>
      <c r="F13" s="48"/>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zoomScaleNormal="100" workbookViewId="0"/>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4" t="s">
        <v>27</v>
      </c>
      <c r="C2" s="50"/>
      <c r="D2" s="50"/>
      <c r="E2" s="50"/>
      <c r="F2" s="50"/>
    </row>
    <row r="3" spans="2:6" ht="28.35" customHeight="1">
      <c r="B3" s="55" t="s">
        <v>140</v>
      </c>
      <c r="C3" s="48"/>
      <c r="D3" s="48"/>
      <c r="E3" s="48"/>
      <c r="F3" s="41"/>
    </row>
    <row r="4" spans="2:6" ht="35.65" customHeight="1">
      <c r="B4" s="8" t="s">
        <v>28</v>
      </c>
      <c r="C4" s="8" t="s">
        <v>29</v>
      </c>
      <c r="D4" s="8" t="s">
        <v>30</v>
      </c>
      <c r="E4" s="15" t="s">
        <v>132</v>
      </c>
      <c r="F4" s="8" t="s">
        <v>31</v>
      </c>
    </row>
    <row r="5" spans="2:6" ht="15" customHeight="1">
      <c r="B5" s="9" t="s">
        <v>32</v>
      </c>
      <c r="C5" s="9"/>
      <c r="D5" s="9"/>
      <c r="E5" s="9"/>
      <c r="F5" s="9"/>
    </row>
    <row r="6" spans="2:6" ht="30" customHeight="1">
      <c r="B6" s="56" t="s">
        <v>150</v>
      </c>
      <c r="C6" s="56" t="s">
        <v>151</v>
      </c>
      <c r="D6" s="28" t="s">
        <v>152</v>
      </c>
      <c r="E6" s="57" t="s">
        <v>154</v>
      </c>
      <c r="F6" s="28" t="s">
        <v>155</v>
      </c>
    </row>
    <row r="7" spans="2:6" ht="30" customHeight="1">
      <c r="B7" s="52"/>
      <c r="C7" s="52"/>
      <c r="D7" s="28"/>
      <c r="E7" s="53"/>
      <c r="F7" s="28"/>
    </row>
    <row r="8" spans="2:6" ht="30" customHeight="1">
      <c r="B8" s="52"/>
      <c r="C8" s="52"/>
      <c r="D8" s="28" t="s">
        <v>153</v>
      </c>
      <c r="E8" s="53"/>
      <c r="F8" s="28" t="s">
        <v>156</v>
      </c>
    </row>
    <row r="9" spans="2:6" ht="30" customHeight="1">
      <c r="B9" s="29" t="s">
        <v>150</v>
      </c>
      <c r="C9" s="29" t="s">
        <v>157</v>
      </c>
      <c r="D9" s="28" t="s">
        <v>158</v>
      </c>
      <c r="E9" s="28" t="s">
        <v>159</v>
      </c>
      <c r="F9" s="28" t="s">
        <v>160</v>
      </c>
    </row>
    <row r="10" spans="2:6" ht="30" customHeight="1">
      <c r="B10" s="52" t="s">
        <v>150</v>
      </c>
      <c r="C10" s="52" t="s">
        <v>161</v>
      </c>
      <c r="D10" s="28" t="s">
        <v>162</v>
      </c>
      <c r="E10" s="53" t="s">
        <v>164</v>
      </c>
      <c r="F10" s="28" t="s">
        <v>165</v>
      </c>
    </row>
    <row r="11" spans="2:6" ht="30" customHeight="1">
      <c r="B11" s="52"/>
      <c r="C11" s="52"/>
      <c r="D11" s="28"/>
      <c r="E11" s="53"/>
      <c r="F11" s="28"/>
    </row>
    <row r="12" spans="2:6" ht="30" customHeight="1">
      <c r="B12" s="52"/>
      <c r="C12" s="52"/>
      <c r="D12" s="28" t="s">
        <v>163</v>
      </c>
      <c r="E12" s="53"/>
      <c r="F12" s="28" t="s">
        <v>166</v>
      </c>
    </row>
    <row r="13" spans="2:6" ht="30" customHeight="1">
      <c r="B13" s="52" t="s">
        <v>150</v>
      </c>
      <c r="C13" s="52" t="s">
        <v>167</v>
      </c>
      <c r="D13" s="28" t="s">
        <v>168</v>
      </c>
      <c r="E13" s="53" t="s">
        <v>171</v>
      </c>
      <c r="F13" s="28" t="s">
        <v>172</v>
      </c>
    </row>
    <row r="14" spans="2:6" ht="30" customHeight="1">
      <c r="B14" s="52"/>
      <c r="C14" s="52"/>
      <c r="D14" s="28"/>
      <c r="E14" s="53"/>
      <c r="F14" s="28"/>
    </row>
    <row r="15" spans="2:6" ht="30" customHeight="1">
      <c r="B15" s="52"/>
      <c r="C15" s="52"/>
      <c r="D15" s="28" t="s">
        <v>169</v>
      </c>
      <c r="E15" s="53"/>
      <c r="F15" s="28" t="s">
        <v>173</v>
      </c>
    </row>
    <row r="16" spans="2:6" ht="30" customHeight="1">
      <c r="B16" s="52"/>
      <c r="C16" s="52"/>
      <c r="D16" s="28"/>
      <c r="E16" s="53"/>
      <c r="F16" s="28"/>
    </row>
    <row r="17" spans="2:6" ht="30" customHeight="1">
      <c r="B17" s="52"/>
      <c r="C17" s="52"/>
      <c r="D17" s="28" t="s">
        <v>170</v>
      </c>
      <c r="E17" s="53"/>
      <c r="F17" s="28"/>
    </row>
    <row r="18" spans="2:6" ht="30" customHeight="1">
      <c r="B18" s="52" t="s">
        <v>150</v>
      </c>
      <c r="C18" s="52" t="s">
        <v>174</v>
      </c>
      <c r="D18" s="28" t="s">
        <v>175</v>
      </c>
      <c r="E18" s="53" t="s">
        <v>177</v>
      </c>
      <c r="F18" s="53" t="s">
        <v>178</v>
      </c>
    </row>
    <row r="19" spans="2:6" ht="30" customHeight="1">
      <c r="B19" s="52"/>
      <c r="C19" s="52"/>
      <c r="D19" s="28"/>
      <c r="E19" s="53"/>
      <c r="F19" s="53"/>
    </row>
    <row r="20" spans="2:6" ht="30" customHeight="1">
      <c r="B20" s="52"/>
      <c r="C20" s="52"/>
      <c r="D20" s="28" t="s">
        <v>176</v>
      </c>
      <c r="E20" s="53"/>
      <c r="F20" s="53"/>
    </row>
    <row r="21" spans="2:6" ht="30" customHeight="1">
      <c r="B21" s="29" t="s">
        <v>179</v>
      </c>
      <c r="C21" s="29" t="s">
        <v>180</v>
      </c>
      <c r="D21" s="28" t="s">
        <v>181</v>
      </c>
      <c r="E21" s="28" t="s">
        <v>182</v>
      </c>
      <c r="F21" s="28" t="s">
        <v>183</v>
      </c>
    </row>
    <row r="22" spans="2:6" ht="30" customHeight="1">
      <c r="B22" s="52" t="s">
        <v>179</v>
      </c>
      <c r="C22" s="52" t="s">
        <v>184</v>
      </c>
      <c r="D22" s="28" t="s">
        <v>185</v>
      </c>
      <c r="E22" s="53" t="s">
        <v>189</v>
      </c>
      <c r="F22" s="28" t="s">
        <v>190</v>
      </c>
    </row>
    <row r="23" spans="2:6" ht="30" customHeight="1">
      <c r="B23" s="52"/>
      <c r="C23" s="52"/>
      <c r="D23" s="28"/>
      <c r="E23" s="53"/>
      <c r="F23" s="28"/>
    </row>
    <row r="24" spans="2:6" ht="30">
      <c r="B24" s="52"/>
      <c r="C24" s="52"/>
      <c r="D24" s="28" t="s">
        <v>186</v>
      </c>
      <c r="E24" s="53"/>
      <c r="F24" s="28" t="s">
        <v>191</v>
      </c>
    </row>
    <row r="25" spans="2:6">
      <c r="B25" s="52"/>
      <c r="C25" s="52"/>
      <c r="D25" s="28"/>
      <c r="E25" s="53"/>
      <c r="F25" s="28"/>
    </row>
    <row r="26" spans="2:6" ht="30">
      <c r="B26" s="52"/>
      <c r="C26" s="52"/>
      <c r="D26" s="28" t="s">
        <v>187</v>
      </c>
      <c r="E26" s="53"/>
      <c r="F26" s="28" t="s">
        <v>192</v>
      </c>
    </row>
    <row r="27" spans="2:6">
      <c r="B27" s="52"/>
      <c r="C27" s="52"/>
      <c r="D27" s="28"/>
      <c r="E27" s="53"/>
      <c r="F27" s="28"/>
    </row>
    <row r="28" spans="2:6" ht="30">
      <c r="B28" s="52"/>
      <c r="C28" s="52"/>
      <c r="D28" s="28" t="s">
        <v>188</v>
      </c>
      <c r="E28" s="53"/>
      <c r="F28" s="28"/>
    </row>
    <row r="29" spans="2:6" ht="60">
      <c r="B29" s="52" t="s">
        <v>179</v>
      </c>
      <c r="C29" s="52" t="s">
        <v>193</v>
      </c>
      <c r="D29" s="28" t="s">
        <v>194</v>
      </c>
      <c r="E29" s="53" t="s">
        <v>197</v>
      </c>
      <c r="F29" s="28" t="s">
        <v>198</v>
      </c>
    </row>
    <row r="30" spans="2:6">
      <c r="B30" s="52"/>
      <c r="C30" s="52"/>
      <c r="D30" s="28"/>
      <c r="E30" s="53"/>
      <c r="F30" s="28"/>
    </row>
    <row r="31" spans="2:6" ht="60">
      <c r="B31" s="52"/>
      <c r="C31" s="52"/>
      <c r="D31" s="28" t="s">
        <v>195</v>
      </c>
      <c r="E31" s="53"/>
      <c r="F31" s="28" t="s">
        <v>199</v>
      </c>
    </row>
    <row r="32" spans="2:6">
      <c r="B32" s="52"/>
      <c r="C32" s="52"/>
      <c r="D32" s="28"/>
      <c r="E32" s="53"/>
      <c r="F32" s="28"/>
    </row>
    <row r="33" spans="2:6" ht="30">
      <c r="B33" s="52"/>
      <c r="C33" s="52"/>
      <c r="D33" s="28" t="s">
        <v>196</v>
      </c>
      <c r="E33" s="53"/>
      <c r="F33" s="28"/>
    </row>
    <row r="34" spans="2:6" ht="30">
      <c r="B34" s="52" t="s">
        <v>179</v>
      </c>
      <c r="C34" s="52" t="s">
        <v>200</v>
      </c>
      <c r="D34" s="28" t="s">
        <v>201</v>
      </c>
      <c r="E34" s="53" t="s">
        <v>203</v>
      </c>
      <c r="F34" s="28" t="s">
        <v>204</v>
      </c>
    </row>
    <row r="35" spans="2:6">
      <c r="B35" s="52"/>
      <c r="C35" s="52"/>
      <c r="D35" s="28"/>
      <c r="E35" s="53"/>
      <c r="F35" s="28"/>
    </row>
    <row r="36" spans="2:6" ht="60">
      <c r="B36" s="52"/>
      <c r="C36" s="52"/>
      <c r="D36" s="28" t="s">
        <v>202</v>
      </c>
      <c r="E36" s="53"/>
      <c r="F36" s="28" t="s">
        <v>205</v>
      </c>
    </row>
    <row r="37" spans="2:6" ht="45">
      <c r="B37" s="52" t="s">
        <v>206</v>
      </c>
      <c r="C37" s="52" t="s">
        <v>207</v>
      </c>
      <c r="D37" s="28" t="s">
        <v>208</v>
      </c>
      <c r="E37" s="53" t="s">
        <v>210</v>
      </c>
      <c r="F37" s="28" t="s">
        <v>211</v>
      </c>
    </row>
    <row r="38" spans="2:6">
      <c r="B38" s="52"/>
      <c r="C38" s="52"/>
      <c r="D38" s="28"/>
      <c r="E38" s="53"/>
      <c r="F38" s="28"/>
    </row>
    <row r="39" spans="2:6" ht="45">
      <c r="B39" s="52"/>
      <c r="C39" s="52"/>
      <c r="D39" s="28" t="s">
        <v>209</v>
      </c>
      <c r="E39" s="53"/>
      <c r="F39" s="28" t="s">
        <v>212</v>
      </c>
    </row>
    <row r="40" spans="2:6" ht="45">
      <c r="B40" s="29" t="s">
        <v>206</v>
      </c>
      <c r="C40" s="29" t="s">
        <v>213</v>
      </c>
      <c r="D40" s="28" t="s">
        <v>214</v>
      </c>
      <c r="E40" s="28" t="s">
        <v>210</v>
      </c>
      <c r="F40" s="28" t="s">
        <v>215</v>
      </c>
    </row>
    <row r="41" spans="2:6" ht="60">
      <c r="B41" s="29" t="s">
        <v>206</v>
      </c>
      <c r="C41" s="29" t="s">
        <v>216</v>
      </c>
      <c r="D41" s="28" t="s">
        <v>217</v>
      </c>
      <c r="E41" s="28" t="s">
        <v>210</v>
      </c>
      <c r="F41" s="28" t="s">
        <v>218</v>
      </c>
    </row>
    <row r="42" spans="2:6" ht="45">
      <c r="B42" s="29" t="s">
        <v>206</v>
      </c>
      <c r="C42" s="29" t="s">
        <v>219</v>
      </c>
      <c r="D42" s="28" t="s">
        <v>220</v>
      </c>
      <c r="E42" s="28" t="s">
        <v>210</v>
      </c>
      <c r="F42" s="28" t="s">
        <v>221</v>
      </c>
    </row>
    <row r="43" spans="2:6" ht="45">
      <c r="B43" s="29" t="s">
        <v>206</v>
      </c>
      <c r="C43" s="29" t="s">
        <v>222</v>
      </c>
      <c r="D43" s="28" t="s">
        <v>223</v>
      </c>
      <c r="E43" s="28" t="s">
        <v>210</v>
      </c>
      <c r="F43" s="28" t="s">
        <v>224</v>
      </c>
    </row>
    <row r="44" spans="2:6" ht="45">
      <c r="B44" s="29" t="s">
        <v>206</v>
      </c>
      <c r="C44" s="29" t="s">
        <v>225</v>
      </c>
      <c r="D44" s="28" t="s">
        <v>226</v>
      </c>
      <c r="E44" s="28" t="s">
        <v>210</v>
      </c>
      <c r="F44" s="28" t="s">
        <v>227</v>
      </c>
    </row>
    <row r="45" spans="2:6" ht="60">
      <c r="B45" s="29" t="s">
        <v>206</v>
      </c>
      <c r="C45" s="29" t="s">
        <v>228</v>
      </c>
      <c r="D45" s="28" t="s">
        <v>229</v>
      </c>
      <c r="E45" s="28" t="s">
        <v>210</v>
      </c>
      <c r="F45" s="28" t="s">
        <v>230</v>
      </c>
    </row>
    <row r="46" spans="2:6" ht="45">
      <c r="B46" s="29" t="s">
        <v>206</v>
      </c>
      <c r="C46" s="29" t="s">
        <v>231</v>
      </c>
      <c r="D46" s="28" t="s">
        <v>232</v>
      </c>
      <c r="E46" s="28" t="s">
        <v>210</v>
      </c>
      <c r="F46" s="28" t="s">
        <v>233</v>
      </c>
    </row>
  </sheetData>
  <mergeCells count="27">
    <mergeCell ref="B2:F2"/>
    <mergeCell ref="B3:F3"/>
    <mergeCell ref="B6:B8"/>
    <mergeCell ref="C6:C8"/>
    <mergeCell ref="E6:E8"/>
    <mergeCell ref="B10:B12"/>
    <mergeCell ref="C10:C12"/>
    <mergeCell ref="E10:E12"/>
    <mergeCell ref="B13:B17"/>
    <mergeCell ref="C13:C17"/>
    <mergeCell ref="E13:E17"/>
    <mergeCell ref="B18:B20"/>
    <mergeCell ref="C18:C20"/>
    <mergeCell ref="E18:E20"/>
    <mergeCell ref="F18:F20"/>
    <mergeCell ref="B22:B28"/>
    <mergeCell ref="C22:C28"/>
    <mergeCell ref="E22:E28"/>
    <mergeCell ref="B37:B39"/>
    <mergeCell ref="C37:C39"/>
    <mergeCell ref="E37:E39"/>
    <mergeCell ref="B29:B33"/>
    <mergeCell ref="C29:C33"/>
    <mergeCell ref="E29:E33"/>
    <mergeCell ref="B34:B36"/>
    <mergeCell ref="C34:C36"/>
    <mergeCell ref="E34:E36"/>
  </mergeCells>
  <phoneticPr fontId="17" type="noConversion"/>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49" t="s">
        <v>33</v>
      </c>
      <c r="C2" s="50"/>
      <c r="D2" s="50"/>
      <c r="E2" s="50"/>
      <c r="F2" s="50"/>
      <c r="G2" s="50"/>
      <c r="H2" s="50"/>
    </row>
    <row r="3" spans="2:8" ht="72.400000000000006" customHeight="1">
      <c r="B3" s="58" t="s">
        <v>134</v>
      </c>
      <c r="C3" s="48"/>
      <c r="D3" s="48"/>
      <c r="E3" s="48"/>
      <c r="F3" s="48"/>
      <c r="G3" s="48"/>
      <c r="H3" s="41"/>
    </row>
    <row r="4" spans="2:8" ht="18" customHeight="1">
      <c r="B4" s="59" t="s">
        <v>34</v>
      </c>
      <c r="C4" s="48"/>
      <c r="D4" s="48"/>
      <c r="E4" s="48"/>
      <c r="F4" s="48"/>
      <c r="G4" s="48"/>
      <c r="H4" s="41"/>
    </row>
    <row r="5" spans="2:8" ht="31.5" customHeight="1">
      <c r="B5" s="10" t="s">
        <v>35</v>
      </c>
      <c r="C5" s="10" t="s">
        <v>36</v>
      </c>
      <c r="D5" s="17" t="s">
        <v>37</v>
      </c>
      <c r="E5" s="11" t="s">
        <v>38</v>
      </c>
      <c r="F5" s="11" t="s">
        <v>39</v>
      </c>
      <c r="G5" s="10" t="s">
        <v>40</v>
      </c>
      <c r="H5" s="11" t="s">
        <v>41</v>
      </c>
    </row>
    <row r="6" spans="2:8" ht="94.5">
      <c r="B6" s="30" t="s">
        <v>234</v>
      </c>
      <c r="C6" s="31" t="s">
        <v>242</v>
      </c>
      <c r="D6" s="5">
        <v>1.5</v>
      </c>
      <c r="E6" s="5">
        <v>4.5</v>
      </c>
      <c r="F6" s="5">
        <v>4.5</v>
      </c>
      <c r="G6" s="5">
        <f t="shared" ref="G6:G13" si="0">IF(OR(E6="",F6=""),"",E6*F6*2)</f>
        <v>40.5</v>
      </c>
      <c r="H6" s="5"/>
    </row>
    <row r="7" spans="2:8" ht="94.5">
      <c r="B7" s="30" t="s">
        <v>235</v>
      </c>
      <c r="C7" s="3" t="s">
        <v>243</v>
      </c>
      <c r="D7" s="5">
        <v>2.5</v>
      </c>
      <c r="E7" s="5">
        <v>4</v>
      </c>
      <c r="F7" s="5">
        <v>5</v>
      </c>
      <c r="G7" s="5">
        <f t="shared" si="0"/>
        <v>40</v>
      </c>
      <c r="H7" s="5" t="s">
        <v>250</v>
      </c>
    </row>
    <row r="8" spans="2:8" ht="94.5">
      <c r="B8" s="30" t="s">
        <v>236</v>
      </c>
      <c r="C8" s="3" t="s">
        <v>244</v>
      </c>
      <c r="D8" s="5">
        <v>2</v>
      </c>
      <c r="E8" s="5">
        <v>4.5</v>
      </c>
      <c r="F8" s="5">
        <v>3.5</v>
      </c>
      <c r="G8" s="5">
        <f t="shared" si="0"/>
        <v>31.5</v>
      </c>
      <c r="H8" s="5"/>
    </row>
    <row r="9" spans="2:8" ht="81">
      <c r="B9" s="30" t="s">
        <v>237</v>
      </c>
      <c r="C9" s="32" t="s">
        <v>245</v>
      </c>
      <c r="D9" s="5">
        <v>1.5</v>
      </c>
      <c r="E9" s="5">
        <v>4.5</v>
      </c>
      <c r="F9" s="5">
        <v>3</v>
      </c>
      <c r="G9" s="5">
        <f t="shared" si="0"/>
        <v>27</v>
      </c>
      <c r="H9" s="5"/>
    </row>
    <row r="10" spans="2:8" ht="94.5">
      <c r="B10" s="30" t="s">
        <v>238</v>
      </c>
      <c r="C10" s="32" t="s">
        <v>246</v>
      </c>
      <c r="D10" s="5">
        <v>2.5</v>
      </c>
      <c r="E10" s="5">
        <v>4</v>
      </c>
      <c r="F10" s="5">
        <v>3</v>
      </c>
      <c r="G10" s="5">
        <f t="shared" si="0"/>
        <v>24</v>
      </c>
      <c r="H10" s="5"/>
    </row>
    <row r="11" spans="2:8" ht="94.5">
      <c r="B11" s="30" t="s">
        <v>239</v>
      </c>
      <c r="C11" s="3" t="s">
        <v>247</v>
      </c>
      <c r="D11" s="5">
        <v>3.5</v>
      </c>
      <c r="E11" s="5">
        <v>2.5</v>
      </c>
      <c r="F11" s="5">
        <v>3.5</v>
      </c>
      <c r="G11" s="5">
        <f t="shared" si="0"/>
        <v>17.5</v>
      </c>
      <c r="H11" s="5"/>
    </row>
    <row r="12" spans="2:8" ht="93.75">
      <c r="B12" s="30" t="s">
        <v>240</v>
      </c>
      <c r="C12" s="3" t="s">
        <v>248</v>
      </c>
      <c r="D12" s="5">
        <v>3</v>
      </c>
      <c r="E12" s="5">
        <v>3</v>
      </c>
      <c r="F12" s="5">
        <v>2.5</v>
      </c>
      <c r="G12" s="5">
        <f t="shared" si="0"/>
        <v>15</v>
      </c>
      <c r="H12" s="5"/>
    </row>
    <row r="13" spans="2:8" ht="94.5">
      <c r="B13" s="30" t="s">
        <v>241</v>
      </c>
      <c r="C13" s="32" t="s">
        <v>249</v>
      </c>
      <c r="D13" s="5">
        <v>4.5</v>
      </c>
      <c r="E13" s="5">
        <v>1.5</v>
      </c>
      <c r="F13" s="5">
        <v>4</v>
      </c>
      <c r="G13" s="5">
        <f t="shared" si="0"/>
        <v>12</v>
      </c>
      <c r="H13" s="5"/>
    </row>
    <row r="15" spans="2:8" ht="151.5" customHeight="1">
      <c r="B15" s="16" t="s">
        <v>133</v>
      </c>
      <c r="C15" s="60" t="s">
        <v>265</v>
      </c>
      <c r="D15" s="61"/>
      <c r="E15" s="61"/>
      <c r="F15" s="61"/>
      <c r="G15" s="61"/>
      <c r="H15" s="43"/>
    </row>
  </sheetData>
  <mergeCells count="4">
    <mergeCell ref="B3:H3"/>
    <mergeCell ref="B2:H2"/>
    <mergeCell ref="B4:H4"/>
    <mergeCell ref="C15:H15"/>
  </mergeCells>
  <phoneticPr fontId="17" type="noConversion"/>
  <conditionalFormatting sqref="G6:G13">
    <cfRule type="expression" dxfId="5"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C26"/>
  <sheetViews>
    <sheetView showGridLines="0"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3" ht="30" customHeight="1">
      <c r="B2" s="54" t="s">
        <v>42</v>
      </c>
      <c r="C2" s="50"/>
    </row>
    <row r="3" spans="2:3" ht="18" customHeight="1">
      <c r="B3" s="70" t="s">
        <v>43</v>
      </c>
      <c r="C3" s="41"/>
    </row>
    <row r="4" spans="2:3" ht="30" customHeight="1">
      <c r="B4" s="1" t="s">
        <v>44</v>
      </c>
      <c r="C4" s="2" t="s">
        <v>251</v>
      </c>
    </row>
    <row r="5" spans="2:3" ht="103.5" customHeight="1">
      <c r="B5" s="1" t="s">
        <v>45</v>
      </c>
      <c r="C5" s="32" t="s">
        <v>266</v>
      </c>
    </row>
    <row r="6" spans="2:3" ht="96.75" customHeight="1">
      <c r="B6" s="1" t="s">
        <v>46</v>
      </c>
      <c r="C6" s="2" t="s">
        <v>267</v>
      </c>
    </row>
    <row r="7" spans="2:3" ht="213" customHeight="1">
      <c r="B7" s="1" t="s">
        <v>47</v>
      </c>
      <c r="C7" s="32" t="s">
        <v>268</v>
      </c>
    </row>
    <row r="9" spans="2:3" ht="15" customHeight="1">
      <c r="B9" s="68" t="s">
        <v>48</v>
      </c>
      <c r="C9" s="69"/>
    </row>
    <row r="10" spans="2:3" ht="88.5" customHeight="1">
      <c r="B10" s="45" t="s">
        <v>252</v>
      </c>
      <c r="C10" s="46"/>
    </row>
    <row r="11" spans="2:3" ht="73.5" customHeight="1">
      <c r="B11" s="62" t="s">
        <v>253</v>
      </c>
      <c r="C11" s="46"/>
    </row>
    <row r="12" spans="2:3" ht="118.5" customHeight="1">
      <c r="B12" s="62" t="s">
        <v>254</v>
      </c>
      <c r="C12" s="46"/>
    </row>
    <row r="13" spans="2:3" ht="116.25" customHeight="1">
      <c r="B13" s="45" t="s">
        <v>255</v>
      </c>
      <c r="C13" s="46"/>
    </row>
    <row r="14" spans="2:3" ht="63" customHeight="1">
      <c r="B14" s="45" t="s">
        <v>256</v>
      </c>
      <c r="C14" s="46"/>
    </row>
    <row r="16" spans="2:3" ht="15" customHeight="1">
      <c r="B16" s="65" t="s">
        <v>49</v>
      </c>
      <c r="C16" s="66"/>
    </row>
    <row r="17" spans="2:3" ht="89.25" customHeight="1">
      <c r="B17" s="45" t="s">
        <v>257</v>
      </c>
      <c r="C17" s="46"/>
    </row>
    <row r="18" spans="2:3" ht="85.5" customHeight="1">
      <c r="B18" s="62" t="s">
        <v>258</v>
      </c>
      <c r="C18" s="46"/>
    </row>
    <row r="19" spans="2:3" ht="99.75" customHeight="1">
      <c r="B19" s="62" t="s">
        <v>259</v>
      </c>
      <c r="C19" s="46"/>
    </row>
    <row r="20" spans="2:3" ht="70.5" customHeight="1">
      <c r="B20" s="67" t="s">
        <v>263</v>
      </c>
      <c r="C20" s="46"/>
    </row>
    <row r="21" spans="2:3" ht="73.5" customHeight="1">
      <c r="B21" s="67" t="s">
        <v>264</v>
      </c>
      <c r="C21" s="46"/>
    </row>
    <row r="22" spans="2:3" ht="15" customHeight="1"/>
    <row r="23" spans="2:3" ht="15" customHeight="1">
      <c r="B23" s="63" t="s">
        <v>50</v>
      </c>
      <c r="C23" s="64"/>
    </row>
    <row r="24" spans="2:3" ht="77.25" customHeight="1">
      <c r="B24" s="62" t="s">
        <v>260</v>
      </c>
      <c r="C24" s="46"/>
    </row>
    <row r="25" spans="2:3" ht="55.5" customHeight="1">
      <c r="B25" s="45" t="s">
        <v>261</v>
      </c>
      <c r="C25" s="46"/>
    </row>
    <row r="26" spans="2:3" ht="56.25" customHeight="1">
      <c r="B26" s="62" t="s">
        <v>262</v>
      </c>
      <c r="C26" s="46"/>
    </row>
  </sheetData>
  <mergeCells count="18">
    <mergeCell ref="B12:C12"/>
    <mergeCell ref="B9:C9"/>
    <mergeCell ref="B3:C3"/>
    <mergeCell ref="B2:C2"/>
    <mergeCell ref="B10:C10"/>
    <mergeCell ref="B11:C11"/>
    <mergeCell ref="B25:C25"/>
    <mergeCell ref="B26:C26"/>
    <mergeCell ref="B24:C24"/>
    <mergeCell ref="B13:C13"/>
    <mergeCell ref="B14:C14"/>
    <mergeCell ref="B17:C17"/>
    <mergeCell ref="B18:C18"/>
    <mergeCell ref="B19:C19"/>
    <mergeCell ref="B23:C23"/>
    <mergeCell ref="B16:C16"/>
    <mergeCell ref="B20:C20"/>
    <mergeCell ref="B21:C2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abSelected="1" zoomScaleNormal="100" workbookViewId="0"/>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85" t="s">
        <v>51</v>
      </c>
      <c r="C2" s="50"/>
      <c r="D2" s="50"/>
      <c r="E2" s="50"/>
      <c r="F2" s="50"/>
      <c r="G2" s="50"/>
      <c r="H2" s="50"/>
      <c r="I2" s="50"/>
      <c r="J2" s="50"/>
      <c r="K2" s="50"/>
      <c r="L2" s="50"/>
      <c r="M2" s="50"/>
    </row>
    <row r="3" spans="2:13" ht="79.7" customHeight="1">
      <c r="B3" s="84" t="s">
        <v>135</v>
      </c>
      <c r="C3" s="48"/>
      <c r="D3" s="48"/>
      <c r="E3" s="48"/>
      <c r="F3" s="48"/>
      <c r="G3" s="48"/>
      <c r="H3" s="48"/>
      <c r="I3" s="48"/>
      <c r="J3" s="48"/>
      <c r="K3" s="48"/>
      <c r="L3" s="48"/>
      <c r="M3" s="41"/>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269</v>
      </c>
      <c r="E5" s="33" t="s">
        <v>271</v>
      </c>
      <c r="F5" s="34">
        <v>46217</v>
      </c>
      <c r="G5" s="34">
        <v>46217</v>
      </c>
      <c r="H5" s="5">
        <f t="shared" ref="H5:H18" si="0">IF(OR(F5="",G5=""),"",G5-F5+1)</f>
        <v>1</v>
      </c>
      <c r="I5" s="5">
        <v>100</v>
      </c>
      <c r="J5" s="5" t="s">
        <v>292</v>
      </c>
      <c r="K5" s="36"/>
      <c r="L5" s="3"/>
      <c r="M5" s="3"/>
    </row>
    <row r="6" spans="2:13" ht="30" customHeight="1">
      <c r="B6" s="5">
        <v>2</v>
      </c>
      <c r="C6" s="5" t="s">
        <v>58</v>
      </c>
      <c r="D6" s="2" t="s">
        <v>270</v>
      </c>
      <c r="E6" s="33" t="s">
        <v>271</v>
      </c>
      <c r="F6" s="34">
        <v>46217</v>
      </c>
      <c r="G6" s="35">
        <v>46217</v>
      </c>
      <c r="H6" s="5">
        <f t="shared" si="0"/>
        <v>1</v>
      </c>
      <c r="I6" s="5">
        <v>100</v>
      </c>
      <c r="J6" s="5" t="s">
        <v>292</v>
      </c>
      <c r="K6" s="36"/>
      <c r="L6" s="3"/>
      <c r="M6" s="3"/>
    </row>
    <row r="7" spans="2:13" ht="30" customHeight="1">
      <c r="B7" s="5">
        <v>3</v>
      </c>
      <c r="C7" s="5" t="s">
        <v>59</v>
      </c>
      <c r="D7" s="32" t="s">
        <v>272</v>
      </c>
      <c r="E7" s="5" t="s">
        <v>282</v>
      </c>
      <c r="F7" s="34">
        <v>46217</v>
      </c>
      <c r="G7" s="34">
        <v>46217</v>
      </c>
      <c r="H7" s="5">
        <f t="shared" si="0"/>
        <v>1</v>
      </c>
      <c r="I7" s="5">
        <v>100</v>
      </c>
      <c r="J7" s="5" t="s">
        <v>292</v>
      </c>
      <c r="K7" s="36"/>
      <c r="L7" s="3"/>
      <c r="M7" s="3"/>
    </row>
    <row r="8" spans="2:13" ht="30" customHeight="1">
      <c r="B8" s="5">
        <v>4</v>
      </c>
      <c r="C8" s="5" t="s">
        <v>59</v>
      </c>
      <c r="D8" s="2" t="s">
        <v>286</v>
      </c>
      <c r="E8" s="5" t="s">
        <v>283</v>
      </c>
      <c r="F8" s="34">
        <v>46217</v>
      </c>
      <c r="G8" s="35">
        <v>46217</v>
      </c>
      <c r="H8" s="5">
        <f t="shared" si="0"/>
        <v>1</v>
      </c>
      <c r="I8" s="5">
        <v>100</v>
      </c>
      <c r="J8" s="5" t="s">
        <v>292</v>
      </c>
      <c r="K8" s="36"/>
      <c r="L8" s="3"/>
      <c r="M8" s="3"/>
    </row>
    <row r="9" spans="2:13" ht="30" customHeight="1">
      <c r="B9" s="5">
        <v>5</v>
      </c>
      <c r="C9" s="5" t="s">
        <v>60</v>
      </c>
      <c r="D9" s="2" t="s">
        <v>273</v>
      </c>
      <c r="E9" s="5" t="s">
        <v>284</v>
      </c>
      <c r="F9" s="34">
        <v>46217</v>
      </c>
      <c r="G9" s="34">
        <v>46217</v>
      </c>
      <c r="H9" s="5">
        <f t="shared" si="0"/>
        <v>1</v>
      </c>
      <c r="I9" s="5">
        <v>100</v>
      </c>
      <c r="J9" s="33" t="s">
        <v>294</v>
      </c>
      <c r="K9" s="36"/>
      <c r="L9" s="3"/>
      <c r="M9" s="3"/>
    </row>
    <row r="10" spans="2:13" ht="30" customHeight="1">
      <c r="B10" s="5">
        <v>6</v>
      </c>
      <c r="C10" s="5" t="s">
        <v>60</v>
      </c>
      <c r="D10" s="2" t="s">
        <v>287</v>
      </c>
      <c r="E10" s="5" t="s">
        <v>283</v>
      </c>
      <c r="F10" s="34">
        <v>46218</v>
      </c>
      <c r="G10" s="34">
        <v>46218</v>
      </c>
      <c r="H10" s="5">
        <f t="shared" si="0"/>
        <v>1</v>
      </c>
      <c r="I10" s="5">
        <v>100</v>
      </c>
      <c r="J10" s="5" t="s">
        <v>292</v>
      </c>
      <c r="K10" s="37"/>
      <c r="L10" s="36"/>
      <c r="M10" s="3"/>
    </row>
    <row r="11" spans="2:13" ht="30" customHeight="1">
      <c r="B11" s="5">
        <v>7</v>
      </c>
      <c r="C11" s="5" t="s">
        <v>60</v>
      </c>
      <c r="D11" s="2" t="s">
        <v>274</v>
      </c>
      <c r="E11" s="5" t="s">
        <v>284</v>
      </c>
      <c r="F11" s="34">
        <v>46218</v>
      </c>
      <c r="G11" s="34">
        <v>46218</v>
      </c>
      <c r="H11" s="5">
        <f t="shared" si="0"/>
        <v>1</v>
      </c>
      <c r="I11" s="5">
        <v>100</v>
      </c>
      <c r="J11" s="33" t="s">
        <v>294</v>
      </c>
      <c r="K11" s="37"/>
      <c r="L11" s="36"/>
      <c r="M11" s="3"/>
    </row>
    <row r="12" spans="2:13" ht="30" customHeight="1">
      <c r="B12" s="5">
        <v>8</v>
      </c>
      <c r="C12" s="5" t="s">
        <v>60</v>
      </c>
      <c r="D12" s="2" t="s">
        <v>275</v>
      </c>
      <c r="E12" s="5" t="s">
        <v>285</v>
      </c>
      <c r="F12" s="34">
        <v>46218</v>
      </c>
      <c r="G12" s="34">
        <v>46218</v>
      </c>
      <c r="H12" s="5">
        <f t="shared" si="0"/>
        <v>1</v>
      </c>
      <c r="I12" s="5">
        <v>100</v>
      </c>
      <c r="J12" s="5" t="s">
        <v>292</v>
      </c>
      <c r="K12" s="37"/>
      <c r="L12" s="36"/>
      <c r="M12" s="37"/>
    </row>
    <row r="13" spans="2:13" ht="30" customHeight="1">
      <c r="B13" s="5">
        <v>9</v>
      </c>
      <c r="C13" s="5" t="s">
        <v>60</v>
      </c>
      <c r="D13" s="2" t="s">
        <v>276</v>
      </c>
      <c r="E13" s="5" t="s">
        <v>283</v>
      </c>
      <c r="F13" s="34">
        <v>46218</v>
      </c>
      <c r="G13" s="34">
        <v>46218</v>
      </c>
      <c r="H13" s="5">
        <f t="shared" si="0"/>
        <v>1</v>
      </c>
      <c r="I13" s="5">
        <v>100</v>
      </c>
      <c r="J13" s="5" t="s">
        <v>292</v>
      </c>
      <c r="K13" s="3"/>
      <c r="L13" s="36"/>
      <c r="M13" s="3"/>
    </row>
    <row r="14" spans="2:13" ht="30" customHeight="1">
      <c r="B14" s="5">
        <v>10</v>
      </c>
      <c r="C14" s="5" t="s">
        <v>60</v>
      </c>
      <c r="D14" s="2" t="s">
        <v>277</v>
      </c>
      <c r="E14" s="5" t="s">
        <v>284</v>
      </c>
      <c r="F14" s="34">
        <v>46218</v>
      </c>
      <c r="G14" s="34">
        <v>46218</v>
      </c>
      <c r="H14" s="5">
        <f t="shared" si="0"/>
        <v>1</v>
      </c>
      <c r="I14" s="5">
        <v>100</v>
      </c>
      <c r="J14" s="5" t="s">
        <v>293</v>
      </c>
      <c r="K14" s="3"/>
      <c r="L14" s="36"/>
      <c r="M14" s="3"/>
    </row>
    <row r="15" spans="2:13" ht="30" customHeight="1">
      <c r="B15" s="5">
        <v>11</v>
      </c>
      <c r="C15" s="5" t="s">
        <v>60</v>
      </c>
      <c r="D15" s="2" t="s">
        <v>278</v>
      </c>
      <c r="E15" s="5" t="s">
        <v>285</v>
      </c>
      <c r="F15" s="34">
        <v>46218</v>
      </c>
      <c r="G15" s="34">
        <v>46219</v>
      </c>
      <c r="H15" s="5">
        <f t="shared" si="0"/>
        <v>2</v>
      </c>
      <c r="I15" s="5">
        <v>100</v>
      </c>
      <c r="J15" s="5" t="s">
        <v>292</v>
      </c>
      <c r="K15" s="3"/>
      <c r="L15" s="36"/>
      <c r="M15" s="36"/>
    </row>
    <row r="16" spans="2:13" ht="30" customHeight="1">
      <c r="B16" s="5">
        <v>12</v>
      </c>
      <c r="C16" s="5" t="s">
        <v>60</v>
      </c>
      <c r="D16" s="2" t="s">
        <v>279</v>
      </c>
      <c r="E16" s="5" t="s">
        <v>285</v>
      </c>
      <c r="F16" s="34">
        <v>46219</v>
      </c>
      <c r="G16" s="34">
        <v>46219</v>
      </c>
      <c r="H16" s="5">
        <f t="shared" si="0"/>
        <v>1</v>
      </c>
      <c r="I16" s="5">
        <v>0</v>
      </c>
      <c r="J16" s="5" t="s">
        <v>295</v>
      </c>
      <c r="K16" s="3"/>
      <c r="L16" s="37"/>
      <c r="M16" s="36"/>
    </row>
    <row r="17" spans="2:16" ht="30" customHeight="1">
      <c r="B17" s="5">
        <v>13</v>
      </c>
      <c r="C17" s="5" t="s">
        <v>61</v>
      </c>
      <c r="D17" s="2" t="s">
        <v>288</v>
      </c>
      <c r="E17" s="5" t="s">
        <v>284</v>
      </c>
      <c r="F17" s="34">
        <v>46219</v>
      </c>
      <c r="G17" s="34">
        <v>46219</v>
      </c>
      <c r="H17" s="5">
        <f t="shared" si="0"/>
        <v>1</v>
      </c>
      <c r="I17" s="5">
        <v>100</v>
      </c>
      <c r="J17" s="5" t="s">
        <v>292</v>
      </c>
      <c r="K17" s="37"/>
      <c r="L17" s="3"/>
      <c r="M17" s="36"/>
    </row>
    <row r="18" spans="2:16" ht="30" customHeight="1">
      <c r="B18" s="5">
        <v>14</v>
      </c>
      <c r="C18" s="5" t="s">
        <v>61</v>
      </c>
      <c r="D18" s="32" t="s">
        <v>289</v>
      </c>
      <c r="E18" s="5" t="s">
        <v>284</v>
      </c>
      <c r="F18" s="34">
        <v>46219</v>
      </c>
      <c r="G18" s="34">
        <v>46219</v>
      </c>
      <c r="H18" s="5">
        <f t="shared" si="0"/>
        <v>1</v>
      </c>
      <c r="I18" s="5">
        <v>100</v>
      </c>
      <c r="J18" s="5" t="s">
        <v>292</v>
      </c>
      <c r="K18" s="3"/>
      <c r="L18" s="3"/>
      <c r="M18" s="36"/>
    </row>
    <row r="19" spans="2:16" ht="30" customHeight="1">
      <c r="B19" s="5">
        <v>15</v>
      </c>
      <c r="C19" s="5" t="s">
        <v>62</v>
      </c>
      <c r="D19" s="32" t="s">
        <v>290</v>
      </c>
      <c r="E19" s="33" t="s">
        <v>271</v>
      </c>
      <c r="F19" s="34">
        <v>46219</v>
      </c>
      <c r="G19" s="34">
        <v>46219</v>
      </c>
      <c r="H19" s="5">
        <f t="shared" ref="H19:H21" si="1">IF(OR(F19="",G19=""),"",G19-F19+1)</f>
        <v>1</v>
      </c>
      <c r="I19" s="5">
        <v>100</v>
      </c>
      <c r="J19" s="5" t="s">
        <v>292</v>
      </c>
      <c r="K19" s="3"/>
      <c r="L19" s="3"/>
      <c r="M19" s="36"/>
    </row>
    <row r="20" spans="2:16" ht="30" customHeight="1">
      <c r="B20" s="5">
        <v>16</v>
      </c>
      <c r="C20" s="5" t="s">
        <v>63</v>
      </c>
      <c r="D20" s="32" t="s">
        <v>280</v>
      </c>
      <c r="E20" s="5" t="s">
        <v>283</v>
      </c>
      <c r="F20" s="34">
        <v>46219</v>
      </c>
      <c r="G20" s="34">
        <v>46219</v>
      </c>
      <c r="H20" s="5">
        <f t="shared" si="1"/>
        <v>1</v>
      </c>
      <c r="I20" s="5">
        <v>100</v>
      </c>
      <c r="J20" s="5" t="s">
        <v>292</v>
      </c>
      <c r="K20" s="3"/>
      <c r="L20" s="37"/>
      <c r="M20" s="36"/>
      <c r="O20" s="86" t="s">
        <v>136</v>
      </c>
      <c r="P20" s="87"/>
    </row>
    <row r="21" spans="2:16" ht="30" customHeight="1">
      <c r="B21" s="5">
        <v>17</v>
      </c>
      <c r="C21" s="5" t="s">
        <v>63</v>
      </c>
      <c r="D21" s="32" t="s">
        <v>291</v>
      </c>
      <c r="E21" s="5" t="s">
        <v>284</v>
      </c>
      <c r="F21" s="34">
        <v>46219</v>
      </c>
      <c r="G21" s="34">
        <v>46219</v>
      </c>
      <c r="H21" s="5">
        <f t="shared" si="1"/>
        <v>1</v>
      </c>
      <c r="I21" s="5">
        <v>100</v>
      </c>
      <c r="J21" s="5" t="s">
        <v>292</v>
      </c>
      <c r="K21" s="3"/>
      <c r="L21" s="3"/>
      <c r="M21" s="36"/>
      <c r="O21" s="88" t="s">
        <v>58</v>
      </c>
      <c r="P21" s="89"/>
    </row>
    <row r="22" spans="2:16" ht="30" customHeight="1">
      <c r="B22" s="5">
        <v>18</v>
      </c>
      <c r="C22" s="5" t="s">
        <v>64</v>
      </c>
      <c r="D22" s="32" t="s">
        <v>281</v>
      </c>
      <c r="E22" s="33" t="s">
        <v>271</v>
      </c>
      <c r="F22" s="34">
        <v>46219</v>
      </c>
      <c r="G22" s="34">
        <v>46219</v>
      </c>
      <c r="H22" s="5">
        <f t="shared" ref="H22" si="2">IF(OR(F22="",G22=""),"",G22-F22+1)</f>
        <v>1</v>
      </c>
      <c r="I22" s="5">
        <v>100</v>
      </c>
      <c r="J22" s="5" t="s">
        <v>292</v>
      </c>
      <c r="K22" s="3"/>
      <c r="L22" s="37"/>
      <c r="M22" s="36"/>
      <c r="O22" s="90" t="s">
        <v>59</v>
      </c>
      <c r="P22" s="91"/>
    </row>
    <row r="23" spans="2:16" ht="30" customHeight="1">
      <c r="B23" s="27"/>
      <c r="C23" s="27"/>
      <c r="D23" s="27"/>
      <c r="E23" s="27"/>
      <c r="F23" s="27"/>
      <c r="G23" s="27"/>
      <c r="H23" s="27"/>
      <c r="I23" s="27"/>
      <c r="J23" s="27"/>
      <c r="K23" s="27"/>
      <c r="L23" s="27"/>
      <c r="M23" s="27"/>
      <c r="O23" s="74" t="s">
        <v>60</v>
      </c>
      <c r="P23" s="75"/>
    </row>
    <row r="24" spans="2:16" ht="15" customHeight="1">
      <c r="O24" s="76" t="s">
        <v>61</v>
      </c>
      <c r="P24" s="77"/>
    </row>
    <row r="25" spans="2:16" ht="15" customHeight="1">
      <c r="O25" s="78" t="s">
        <v>62</v>
      </c>
      <c r="P25" s="79"/>
    </row>
    <row r="26" spans="2:16" ht="15" customHeight="1">
      <c r="O26" s="80" t="s">
        <v>63</v>
      </c>
      <c r="P26" s="81"/>
    </row>
    <row r="27" spans="2:16" ht="15" customHeight="1">
      <c r="O27" s="82" t="s">
        <v>64</v>
      </c>
      <c r="P27" s="83"/>
    </row>
    <row r="28" spans="2:16" ht="15" customHeight="1">
      <c r="O28" s="72" t="s">
        <v>65</v>
      </c>
      <c r="P28" s="73"/>
    </row>
    <row r="29" spans="2:16" ht="15" customHeight="1">
      <c r="B29" s="71"/>
      <c r="C29" s="71"/>
    </row>
    <row r="30" spans="2:16">
      <c r="B30" s="71"/>
      <c r="C30" s="71"/>
    </row>
    <row r="31" spans="2:16">
      <c r="B31" s="71"/>
      <c r="C31" s="71"/>
    </row>
    <row r="32" spans="2:16">
      <c r="B32" s="71"/>
      <c r="C32" s="71"/>
    </row>
    <row r="33" spans="2:3">
      <c r="B33" s="71"/>
      <c r="C33" s="71"/>
    </row>
    <row r="34" spans="2:3">
      <c r="B34" s="71"/>
      <c r="C34" s="71"/>
    </row>
    <row r="35" spans="2:3">
      <c r="B35" s="71"/>
      <c r="C35" s="71"/>
    </row>
    <row r="36" spans="2:3">
      <c r="B36" s="71"/>
      <c r="C36" s="71"/>
    </row>
  </sheetData>
  <mergeCells count="19">
    <mergeCell ref="B3:M3"/>
    <mergeCell ref="B2:M2"/>
    <mergeCell ref="O20:P20"/>
    <mergeCell ref="O21:P21"/>
    <mergeCell ref="O22:P22"/>
    <mergeCell ref="O28:P28"/>
    <mergeCell ref="O23:P23"/>
    <mergeCell ref="O24:P24"/>
    <mergeCell ref="O25:P25"/>
    <mergeCell ref="O26:P26"/>
    <mergeCell ref="O27:P27"/>
    <mergeCell ref="B34:C34"/>
    <mergeCell ref="B35:C35"/>
    <mergeCell ref="B36:C36"/>
    <mergeCell ref="B29:C29"/>
    <mergeCell ref="B30:C30"/>
    <mergeCell ref="B31:C31"/>
    <mergeCell ref="B32:C32"/>
    <mergeCell ref="B33:C33"/>
  </mergeCells>
  <phoneticPr fontId="17" type="noConversion"/>
  <conditionalFormatting sqref="K5:M18">
    <cfRule type="expression" dxfId="4" priority="7">
      <formula>AND(K$4&gt;=$F5,K$4&lt;=$G5)</formula>
    </cfRule>
  </conditionalFormatting>
  <conditionalFormatting sqref="K19:M19">
    <cfRule type="expression" dxfId="3" priority="5">
      <formula>AND(K$4&gt;=$F19,K$4&lt;=$G19)</formula>
    </cfRule>
  </conditionalFormatting>
  <conditionalFormatting sqref="K20:M20">
    <cfRule type="expression" dxfId="2" priority="4">
      <formula>AND(K$4&gt;=$F20,K$4&lt;=$G20)</formula>
    </cfRule>
  </conditionalFormatting>
  <conditionalFormatting sqref="K22:M22">
    <cfRule type="expression" dxfId="1" priority="3">
      <formula>AND(K$4&gt;=$F22,K$4&lt;=$G22)</formula>
    </cfRule>
  </conditionalFormatting>
  <conditionalFormatting sqref="K21:M21">
    <cfRule type="expression" dxfId="0" priority="2">
      <formula>AND(K$4&gt;=$F21,K$4&lt;=$G21)</formula>
    </cfRule>
  </conditionalFormatting>
  <dataValidations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49" t="s">
        <v>66</v>
      </c>
      <c r="C2" s="50"/>
    </row>
    <row r="3" spans="2:3" ht="19.5" customHeight="1">
      <c r="B3" s="59" t="s">
        <v>67</v>
      </c>
      <c r="C3" s="41"/>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2026-07-16T05:36:33Z</dcterms:modified>
  <dc:language>en-US</dc:language>
</cp:coreProperties>
</file>